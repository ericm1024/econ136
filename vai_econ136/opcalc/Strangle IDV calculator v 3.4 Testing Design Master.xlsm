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7305" windowHeight="9345"/>
  </bookViews>
  <sheets>
    <sheet name="Strangle IDV" sheetId="1" r:id="rId1"/>
  </sheets>
  <definedNames>
    <definedName name="CallExp">'Strangle IDV'!$D$13</definedName>
    <definedName name="CallIDV">'Strangle IDV'!$D$19</definedName>
    <definedName name="CallMo">'Strangle IDV'!$D$11</definedName>
    <definedName name="CallPr">'Strangle IDV'!$D$14</definedName>
    <definedName name="CallTD">'Strangle IDV'!$D$20</definedName>
    <definedName name="CDTM">'Strangle IDV'!$D$16</definedName>
    <definedName name="CDTMO">'Strangle IDV'!$D$17</definedName>
    <definedName name="CStrikePr">'Strangle IDV'!$D$12</definedName>
    <definedName name="DateToday">'Strangle IDV'!$D$3</definedName>
    <definedName name="IntR">'Strangle IDV'!$E$9</definedName>
    <definedName name="PDTM">'Strangle IDV'!$E$16</definedName>
    <definedName name="PDTMO">'Strangle IDV'!$E$17</definedName>
    <definedName name="PStrikePr">'Strangle IDV'!$E$12</definedName>
    <definedName name="PutExp">'Strangle IDV'!$E$13</definedName>
    <definedName name="PutIDV">'Strangle IDV'!$E$19</definedName>
    <definedName name="PutMo">'Strangle IDV'!$E$11</definedName>
    <definedName name="PutPr">'Strangle IDV'!$E$14</definedName>
    <definedName name="PutTD">'Strangle IDV'!$E$20</definedName>
    <definedName name="StockPr">'Strangle IDV'!$D$9</definedName>
    <definedName name="StockSym">'Strangle IDV'!$D$8</definedName>
    <definedName name="UserName">'Strangle IDV'!$D$2</definedName>
  </definedNames>
  <calcPr calcId="125725"/>
</workbook>
</file>

<file path=xl/calcChain.xml><?xml version="1.0" encoding="utf-8"?>
<calcChain xmlns="http://schemas.openxmlformats.org/spreadsheetml/2006/main">
  <c r="E13" i="1"/>
  <c r="D3" l="1"/>
  <c r="D16" l="1"/>
  <c r="E16"/>
</calcChain>
</file>

<file path=xl/sharedStrings.xml><?xml version="1.0" encoding="utf-8"?>
<sst xmlns="http://schemas.openxmlformats.org/spreadsheetml/2006/main" count="22" uniqueCount="21">
  <si>
    <t xml:space="preserve">Month: </t>
  </si>
  <si>
    <t xml:space="preserve">Strike: </t>
  </si>
  <si>
    <t xml:space="preserve">Expiration: </t>
  </si>
  <si>
    <t xml:space="preserve">Price: </t>
  </si>
  <si>
    <t>Interest rate:</t>
  </si>
  <si>
    <t xml:space="preserve"> </t>
  </si>
  <si>
    <t>CALL</t>
  </si>
  <si>
    <t>PUT</t>
  </si>
  <si>
    <t xml:space="preserve">Days to maturity: </t>
  </si>
  <si>
    <t xml:space="preserve">DTM override: </t>
  </si>
  <si>
    <t xml:space="preserve">Implied daily volatility: </t>
  </si>
  <si>
    <t xml:space="preserve">Stock Symbol: </t>
  </si>
  <si>
    <t xml:space="preserve">Stock Price: </t>
  </si>
  <si>
    <t xml:space="preserve">One-day time decay: </t>
  </si>
  <si>
    <t>Strangle Implied Daily Volatility Calculator</t>
  </si>
  <si>
    <t>Version 3.3 August 16, 2011</t>
  </si>
  <si>
    <t xml:space="preserve">Name: </t>
  </si>
  <si>
    <t xml:space="preserve">Date: </t>
  </si>
  <si>
    <t>Gary R. Evans</t>
  </si>
  <si>
    <t>DIA</t>
  </si>
  <si>
    <t>Sep</t>
  </si>
</sst>
</file>

<file path=xl/styles.xml><?xml version="1.0" encoding="utf-8"?>
<styleSheet xmlns="http://schemas.openxmlformats.org/spreadsheetml/2006/main">
  <numFmts count="4">
    <numFmt numFmtId="164" formatCode="[$-409]mmmm\ d\,\ yyyy;@"/>
    <numFmt numFmtId="165" formatCode="0.000"/>
    <numFmt numFmtId="166" formatCode="m/d/yy;@"/>
    <numFmt numFmtId="167" formatCode="0.00000"/>
  </numFmts>
  <fonts count="4"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8"/>
      <color theme="1"/>
      <name val="Times New Roman"/>
      <family val="2"/>
    </font>
    <font>
      <sz val="12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right"/>
    </xf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" fillId="5" borderId="0" xfId="0" applyFont="1" applyFill="1" applyBorder="1" applyAlignment="1"/>
    <xf numFmtId="0" fontId="0" fillId="5" borderId="0" xfId="0" applyFill="1" applyBorder="1"/>
    <xf numFmtId="0" fontId="0" fillId="5" borderId="7" xfId="0" applyFill="1" applyBorder="1"/>
    <xf numFmtId="0" fontId="0" fillId="5" borderId="0" xfId="0" applyFill="1" applyBorder="1" applyAlignment="1">
      <alignment horizontal="right"/>
    </xf>
    <xf numFmtId="0" fontId="1" fillId="5" borderId="0" xfId="0" applyFont="1" applyFill="1" applyBorder="1" applyAlignment="1">
      <alignment horizontal="center"/>
    </xf>
    <xf numFmtId="0" fontId="0" fillId="5" borderId="8" xfId="0" applyFill="1" applyBorder="1"/>
    <xf numFmtId="165" fontId="0" fillId="2" borderId="1" xfId="0" applyNumberFormat="1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166" fontId="0" fillId="2" borderId="1" xfId="0" applyNumberFormat="1" applyFill="1" applyBorder="1" applyProtection="1">
      <protection locked="0"/>
    </xf>
    <xf numFmtId="1" fontId="0" fillId="2" borderId="1" xfId="0" applyNumberFormat="1" applyFill="1" applyBorder="1" applyProtection="1">
      <protection locked="0"/>
    </xf>
    <xf numFmtId="167" fontId="0" fillId="4" borderId="1" xfId="0" applyNumberFormat="1" applyFill="1" applyBorder="1"/>
    <xf numFmtId="165" fontId="0" fillId="3" borderId="1" xfId="0" applyNumberFormat="1" applyFill="1" applyBorder="1"/>
    <xf numFmtId="1" fontId="0" fillId="3" borderId="1" xfId="0" applyNumberFormat="1" applyFill="1" applyBorder="1" applyProtection="1"/>
    <xf numFmtId="165" fontId="0" fillId="2" borderId="2" xfId="0" applyNumberFormat="1" applyFill="1" applyBorder="1" applyProtection="1">
      <protection locked="0"/>
    </xf>
    <xf numFmtId="49" fontId="0" fillId="2" borderId="1" xfId="0" applyNumberFormat="1" applyFill="1" applyBorder="1" applyAlignment="1" applyProtection="1">
      <alignment horizontal="right"/>
      <protection locked="0"/>
    </xf>
    <xf numFmtId="0" fontId="1" fillId="5" borderId="6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49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showGridLines="0" tabSelected="1" zoomScaleNormal="100" workbookViewId="0">
      <selection activeCell="H19" sqref="H19"/>
    </sheetView>
  </sheetViews>
  <sheetFormatPr defaultRowHeight="15.75"/>
  <cols>
    <col min="2" max="2" width="2.375" customWidth="1"/>
    <col min="3" max="3" width="18.625" customWidth="1"/>
    <col min="4" max="5" width="12.625" customWidth="1"/>
    <col min="6" max="6" width="3.375" customWidth="1"/>
  </cols>
  <sheetData>
    <row r="2" spans="2:6">
      <c r="C2" s="1" t="s">
        <v>16</v>
      </c>
      <c r="D2" s="26" t="s">
        <v>18</v>
      </c>
      <c r="E2" s="26"/>
    </row>
    <row r="3" spans="2:6">
      <c r="C3" s="1" t="s">
        <v>17</v>
      </c>
      <c r="D3" s="27">
        <f ca="1">TODAY()</f>
        <v>42774</v>
      </c>
      <c r="E3" s="27"/>
    </row>
    <row r="4" spans="2:6" ht="16.5" thickBot="1"/>
    <row r="5" spans="2:6">
      <c r="B5" s="2"/>
      <c r="C5" s="3"/>
      <c r="D5" s="3"/>
      <c r="E5" s="3"/>
      <c r="F5" s="4"/>
    </row>
    <row r="6" spans="2:6">
      <c r="B6" s="21" t="s">
        <v>14</v>
      </c>
      <c r="C6" s="22"/>
      <c r="D6" s="22"/>
      <c r="E6" s="22"/>
      <c r="F6" s="23"/>
    </row>
    <row r="7" spans="2:6">
      <c r="B7" s="5"/>
      <c r="C7" s="6" t="s">
        <v>5</v>
      </c>
      <c r="D7" s="6"/>
      <c r="E7" s="7"/>
      <c r="F7" s="8"/>
    </row>
    <row r="8" spans="2:6">
      <c r="B8" s="5"/>
      <c r="C8" s="9" t="s">
        <v>11</v>
      </c>
      <c r="D8" s="20" t="s">
        <v>19</v>
      </c>
      <c r="E8" s="7" t="s">
        <v>4</v>
      </c>
      <c r="F8" s="8"/>
    </row>
    <row r="9" spans="2:6">
      <c r="B9" s="5"/>
      <c r="C9" s="9" t="s">
        <v>12</v>
      </c>
      <c r="D9" s="12">
        <v>114.41</v>
      </c>
      <c r="E9" s="19">
        <v>0.01</v>
      </c>
      <c r="F9" s="8"/>
    </row>
    <row r="10" spans="2:6">
      <c r="B10" s="5"/>
      <c r="C10" s="7"/>
      <c r="D10" s="10" t="s">
        <v>6</v>
      </c>
      <c r="E10" s="10" t="s">
        <v>7</v>
      </c>
      <c r="F10" s="8"/>
    </row>
    <row r="11" spans="2:6">
      <c r="B11" s="5"/>
      <c r="C11" s="9" t="s">
        <v>0</v>
      </c>
      <c r="D11" s="20" t="s">
        <v>20</v>
      </c>
      <c r="E11" s="20" t="s">
        <v>20</v>
      </c>
      <c r="F11" s="8"/>
    </row>
    <row r="12" spans="2:6">
      <c r="B12" s="5"/>
      <c r="C12" s="9" t="s">
        <v>1</v>
      </c>
      <c r="D12" s="13">
        <v>116</v>
      </c>
      <c r="E12" s="13">
        <v>113</v>
      </c>
      <c r="F12" s="8"/>
    </row>
    <row r="13" spans="2:6">
      <c r="B13" s="5"/>
      <c r="C13" s="9" t="s">
        <v>2</v>
      </c>
      <c r="D13" s="14">
        <v>42818</v>
      </c>
      <c r="E13" s="14">
        <f>CallExp</f>
        <v>42818</v>
      </c>
      <c r="F13" s="8"/>
    </row>
    <row r="14" spans="2:6">
      <c r="B14" s="5"/>
      <c r="C14" s="9" t="s">
        <v>3</v>
      </c>
      <c r="D14" s="12">
        <v>2.81</v>
      </c>
      <c r="E14" s="12">
        <v>3.68</v>
      </c>
      <c r="F14" s="8"/>
    </row>
    <row r="15" spans="2:6">
      <c r="B15" s="5"/>
      <c r="C15" s="7"/>
      <c r="D15" s="7"/>
      <c r="E15" s="7"/>
      <c r="F15" s="8"/>
    </row>
    <row r="16" spans="2:6">
      <c r="B16" s="5"/>
      <c r="C16" s="9" t="s">
        <v>8</v>
      </c>
      <c r="D16" s="18">
        <f ca="1">CallExp-D3</f>
        <v>44</v>
      </c>
      <c r="E16" s="18">
        <f ca="1">PutExp-DateToday</f>
        <v>44</v>
      </c>
      <c r="F16" s="8"/>
    </row>
    <row r="17" spans="2:6">
      <c r="B17" s="5"/>
      <c r="C17" s="9" t="s">
        <v>9</v>
      </c>
      <c r="D17" s="15">
        <v>45</v>
      </c>
      <c r="E17" s="15">
        <v>45</v>
      </c>
      <c r="F17" s="8"/>
    </row>
    <row r="18" spans="2:6">
      <c r="B18" s="5"/>
      <c r="C18" s="7"/>
      <c r="D18" s="7"/>
      <c r="E18" s="7"/>
      <c r="F18" s="8"/>
    </row>
    <row r="19" spans="2:6">
      <c r="B19" s="5"/>
      <c r="C19" s="9" t="s">
        <v>10</v>
      </c>
      <c r="D19" s="16">
        <v>1.1319999999999707E-2</v>
      </c>
      <c r="E19" s="16">
        <v>1.4519999999999577E-2</v>
      </c>
      <c r="F19" s="8"/>
    </row>
    <row r="20" spans="2:6">
      <c r="B20" s="5"/>
      <c r="C20" s="9" t="s">
        <v>13</v>
      </c>
      <c r="D20" s="17">
        <v>3.8574494542593207E-2</v>
      </c>
      <c r="E20" s="17">
        <v>4.492034309880566E-2</v>
      </c>
      <c r="F20" s="8"/>
    </row>
    <row r="21" spans="2:6" ht="16.5" thickBot="1">
      <c r="B21" s="11"/>
      <c r="C21" s="24" t="s">
        <v>15</v>
      </c>
      <c r="D21" s="24"/>
      <c r="E21" s="24"/>
      <c r="F21" s="25"/>
    </row>
  </sheetData>
  <sheetProtection selectLockedCells="1"/>
  <mergeCells count="4">
    <mergeCell ref="B6:F6"/>
    <mergeCell ref="C21:F21"/>
    <mergeCell ref="D2:E2"/>
    <mergeCell ref="D3:E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Strangle IDV</vt:lpstr>
      <vt:lpstr>CallExp</vt:lpstr>
      <vt:lpstr>CallIDV</vt:lpstr>
      <vt:lpstr>CallMo</vt:lpstr>
      <vt:lpstr>CallPr</vt:lpstr>
      <vt:lpstr>CallTD</vt:lpstr>
      <vt:lpstr>CDTM</vt:lpstr>
      <vt:lpstr>CDTMO</vt:lpstr>
      <vt:lpstr>CStrikePr</vt:lpstr>
      <vt:lpstr>DateToday</vt:lpstr>
      <vt:lpstr>IntR</vt:lpstr>
      <vt:lpstr>PDTM</vt:lpstr>
      <vt:lpstr>PDTMO</vt:lpstr>
      <vt:lpstr>PStrikePr</vt:lpstr>
      <vt:lpstr>PutExp</vt:lpstr>
      <vt:lpstr>PutIDV</vt:lpstr>
      <vt:lpstr>PutMo</vt:lpstr>
      <vt:lpstr>PutPr</vt:lpstr>
      <vt:lpstr>PutTD</vt:lpstr>
      <vt:lpstr>StockPr</vt:lpstr>
      <vt:lpstr>StockSym</vt:lpstr>
      <vt:lpstr>UserName</vt:lpstr>
    </vt:vector>
  </TitlesOfParts>
  <Company>Harvey Mudd College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R. Evans</dc:creator>
  <cp:lastModifiedBy>Gary R. Evans</cp:lastModifiedBy>
  <dcterms:created xsi:type="dcterms:W3CDTF">2011-08-16T23:44:18Z</dcterms:created>
  <dcterms:modified xsi:type="dcterms:W3CDTF">2017-02-08T18:48:55Z</dcterms:modified>
</cp:coreProperties>
</file>